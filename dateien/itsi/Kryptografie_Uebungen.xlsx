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1 Informationsgehalt" sheetId="2" state="visible" r:id="rId2"/>
    <sheet xmlns:r="http://schemas.openxmlformats.org/officeDocument/2006/relationships" name="2 Entropie" sheetId="3" state="visible" r:id="rId3"/>
    <sheet xmlns:r="http://schemas.openxmlformats.org/officeDocument/2006/relationships" name="3 Codierung" sheetId="4" state="visible" r:id="rId4"/>
    <sheet xmlns:r="http://schemas.openxmlformats.org/officeDocument/2006/relationships" name="Lösung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12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555555"/>
    </font>
    <font>
      <b val="1"/>
      <color rgb="000FA3B1"/>
      <sz val="12"/>
    </font>
    <font>
      <b val="1"/>
      <color rgb="00FFFFFF"/>
    </font>
    <font>
      <name val="Consolas"/>
      <color rgb="002E7D32"/>
    </font>
    <font>
      <i val="1"/>
      <color rgb="00777777"/>
    </font>
    <font>
      <b val="1"/>
      <color rgb="00FFFFFF"/>
      <sz val="16"/>
    </font>
    <font>
      <i val="1"/>
      <color rgb="002E7D32"/>
    </font>
    <font>
      <b val="1"/>
    </font>
    <font>
      <b val="1"/>
      <color rgb="00C62828"/>
    </font>
    <font>
      <b val="1"/>
      <color rgb="002E7D32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8F6F7"/>
      </patternFill>
    </fill>
    <fill>
      <patternFill patternType="solid">
        <fgColor rgb="00FFF2CC"/>
      </patternFill>
    </fill>
    <fill>
      <patternFill patternType="solid">
        <fgColor rgb="00EAF5E9"/>
      </patternFill>
    </fill>
    <fill>
      <patternFill patternType="solid">
        <fgColor rgb="000FA3B1"/>
      </patternFill>
    </fill>
    <fill>
      <patternFill patternType="solid">
        <fgColor rgb="00C62828"/>
      </patternFill>
    </fill>
  </fills>
  <borders count="3">
    <border>
      <left/>
      <right/>
      <top/>
      <bottom/>
      <diagonal/>
    </border>
    <border>
      <bottom style="medium">
        <color rgb="000FA3B1"/>
      </bottom>
    </border>
    <border>
      <left style="thin">
        <color rgb="00BFC9D1"/>
      </left>
      <right style="thin">
        <color rgb="00BFC9D1"/>
      </right>
      <top style="thin">
        <color rgb="00BFC9D1"/>
      </top>
      <bottom style="thin">
        <color rgb="00BFC9D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0" fillId="3" borderId="2" pivotButton="0" quotePrefix="0" xfId="0"/>
    <xf numFmtId="0" fontId="0" fillId="4" borderId="2" pivotButton="0" quotePrefix="0" xfId="0"/>
    <xf numFmtId="0" fontId="0" fillId="5" borderId="2" pivotButton="0" quotePrefix="0" xfId="0"/>
    <xf numFmtId="0" fontId="4" fillId="6" borderId="2" applyAlignment="1" pivotButton="0" quotePrefix="0" xfId="0">
      <alignment horizontal="center"/>
    </xf>
    <xf numFmtId="0" fontId="0" fillId="0" borderId="2" pivotButton="0" quotePrefix="0" xfId="0"/>
    <xf numFmtId="0" fontId="5" fillId="0" borderId="2" pivotButton="0" quotePrefix="0" xfId="0"/>
    <xf numFmtId="0" fontId="6" fillId="0" borderId="0" applyAlignment="1" pivotButton="0" quotePrefix="0" xfId="0">
      <alignment vertical="top" wrapText="1"/>
    </xf>
    <xf numFmtId="0" fontId="7" fillId="2" borderId="0" applyAlignment="1" pivotButton="0" quotePrefix="0" xfId="0">
      <alignment vertical="center" indent="1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164" fontId="0" fillId="5" borderId="2" applyAlignment="1" pivotButton="0" quotePrefix="0" xfId="0">
      <alignment horizontal="center"/>
    </xf>
    <xf numFmtId="0" fontId="8" fillId="0" borderId="0" pivotButton="0" quotePrefix="0" xfId="0"/>
    <xf numFmtId="165" fontId="0" fillId="3" borderId="2" applyAlignment="1" pivotButton="0" quotePrefix="0" xfId="0">
      <alignment horizontal="center"/>
    </xf>
    <xf numFmtId="164" fontId="0" fillId="4" borderId="2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2" applyAlignment="1" pivotButton="0" quotePrefix="0" xfId="0">
      <alignment horizontal="left"/>
    </xf>
    <xf numFmtId="165" fontId="0" fillId="4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  <xf numFmtId="164" fontId="9" fillId="5" borderId="2" applyAlignment="1" pivotButton="0" quotePrefix="0" xfId="0">
      <alignment horizontal="center"/>
    </xf>
    <xf numFmtId="49" fontId="0" fillId="3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7" fillId="7" borderId="0" pivotButton="0" quotePrefix="0" xfId="0"/>
    <xf numFmtId="49" fontId="5" fillId="0" borderId="2" pivotButton="0" quotePrefix="0" xfId="0"/>
  </cellXfs>
  <cellStyles count="1">
    <cellStyle name="Normal" xfId="0" builtinId="0" hidden="0"/>
  </cellStyles>
  <dxfs count="2">
    <dxf>
      <font>
        <b val="1"/>
        <color rgb="002E7D32"/>
      </font>
      <fill>
        <patternFill patternType="solid">
          <fgColor rgb="00E6F4EA"/>
        </patternFill>
      </fill>
    </dxf>
    <dxf>
      <font>
        <b val="1"/>
        <color rgb="00C62828"/>
      </font>
      <fill>
        <patternFill patternType="solid">
          <f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58" customWidth="1" min="3" max="3"/>
  </cols>
  <sheetData>
    <row r="1" ht="38" customHeight="1">
      <c r="B1" s="1" t="inlineStr">
        <is>
          <t>Kryptografie – Übungsmappe</t>
        </is>
      </c>
    </row>
    <row r="2">
      <c r="B2" s="2" t="inlineStr">
        <is>
          <t>Informationstheorie · Prüfwerte · 4AHIT</t>
        </is>
      </c>
    </row>
    <row r="4">
      <c r="B4" s="3" t="inlineStr">
        <is>
          <t>So funktioniert's</t>
        </is>
      </c>
      <c r="C4" s="4" t="n"/>
    </row>
    <row r="5">
      <c r="B5" s="5" t="inlineStr"/>
      <c r="C5" t="inlineStr">
        <is>
          <t>Gegebene Werte (darfst du ändern)</t>
        </is>
      </c>
    </row>
    <row r="6">
      <c r="B6" s="6" t="inlineStr"/>
      <c r="C6" t="inlineStr">
        <is>
          <t>Hier gibst DU die Formel ein</t>
        </is>
      </c>
    </row>
    <row r="7">
      <c r="B7" s="7" t="inlineStr"/>
      <c r="C7" t="inlineStr">
        <is>
          <t>Gelöstes Beispiel zum Abschauen</t>
        </is>
      </c>
    </row>
    <row r="8">
      <c r="B8" t="inlineStr">
        <is>
          <t>✓ / ✗ daneben</t>
        </is>
      </c>
      <c r="C8" t="inlineStr">
        <is>
          <t>prüft automatisch, ob dein Ergebnis stimmt</t>
        </is>
      </c>
    </row>
    <row r="9">
      <c r="B9" t="inlineStr">
        <is>
          <t>Blatt „Lösungen“</t>
        </is>
      </c>
      <c r="C9" t="inlineStr">
        <is>
          <t>erst anschauen, wenn du nicht weiterkommst!</t>
        </is>
      </c>
    </row>
    <row r="11">
      <c r="B11" s="3" t="inlineStr">
        <is>
          <t>Formel-Spickzettel (deutsches Excel)</t>
        </is>
      </c>
      <c r="C11" s="4" t="n"/>
    </row>
    <row r="12">
      <c r="B12" s="8" t="inlineStr">
        <is>
          <t>Was</t>
        </is>
      </c>
      <c r="C12" s="8" t="inlineStr">
        <is>
          <t>Excel-Formel</t>
        </is>
      </c>
    </row>
    <row r="13">
      <c r="B13" s="9" t="inlineStr">
        <is>
          <t>Informationsgehalt I = ld(1/p)</t>
        </is>
      </c>
      <c r="C13" s="10" t="inlineStr">
        <is>
          <t>=LOG(1/B5;2)</t>
        </is>
      </c>
    </row>
    <row r="14">
      <c r="B14" s="9" t="inlineStr">
        <is>
          <t>ld ohne LOG-Basis</t>
        </is>
      </c>
      <c r="C14" s="10" t="inlineStr">
        <is>
          <t>=LN(x)/LN(2)</t>
        </is>
      </c>
    </row>
    <row r="15">
      <c r="B15" s="9" t="inlineStr">
        <is>
          <t>Summe</t>
        </is>
      </c>
      <c r="C15" s="10" t="inlineStr">
        <is>
          <t>=SUMME(C5:C10)</t>
        </is>
      </c>
    </row>
    <row r="16">
      <c r="B16" s="9" t="inlineStr">
        <is>
          <t>Entropie, Teil p·ld(1/p)</t>
        </is>
      </c>
      <c r="C16" s="10" t="inlineStr">
        <is>
          <t>=B5*LOG(1/B5;2)</t>
        </is>
      </c>
    </row>
    <row r="17">
      <c r="B17" s="9" t="inlineStr">
        <is>
          <t>Entropie in 1 Formel</t>
        </is>
      </c>
      <c r="C17" s="10" t="inlineStr">
        <is>
          <t>=SUMMENPRODUKT(B5:B8;LOG(1/B5:B8;2))</t>
        </is>
      </c>
    </row>
    <row r="18">
      <c r="B18" s="9" t="inlineStr">
        <is>
          <t>Länge eines Codeworts</t>
        </is>
      </c>
      <c r="C18" s="10" t="inlineStr">
        <is>
          <t>=LÄNGE(C5)</t>
        </is>
      </c>
    </row>
    <row r="19">
      <c r="B19" s="9" t="inlineStr">
        <is>
          <t>Mittlere Wortlänge L</t>
        </is>
      </c>
      <c r="C19" s="10" t="inlineStr">
        <is>
          <t>=SUMMENPRODUKT(B5:B8;D5:D8)</t>
        </is>
      </c>
    </row>
    <row r="20">
      <c r="B20" s="9" t="inlineStr">
        <is>
          <t>Redundanz R = L − H</t>
        </is>
      </c>
      <c r="C20" s="10" t="inlineStr">
        <is>
          <t>=L_Zelle-H_Zelle</t>
        </is>
      </c>
    </row>
    <row r="21">
      <c r="B21" s="9" t="inlineStr">
        <is>
          <t>Prüfung H ≤ L</t>
        </is>
      </c>
      <c r="C21" s="10" t="inlineStr">
        <is>
          <t>=WENN(H&lt;=L;"ja";"nein")</t>
        </is>
      </c>
    </row>
    <row r="22">
      <c r="B22" s="9" t="inlineStr">
        <is>
          <t>Fixer Bezug beim Runterziehen</t>
        </is>
      </c>
      <c r="C22" s="10" t="inlineStr">
        <is>
          <t>$B$5  (F4-Taste)</t>
        </is>
      </c>
    </row>
    <row r="25">
      <c r="B25" s="11" t="inlineStr">
        <is>
          <t>Tipp: Englisches Excel → LOG, SUMPRODUCT, LEN, IF und „,“ statt „;“. Formel einmal schreiben, dann am Eck runterziehen.</t>
        </is>
      </c>
    </row>
  </sheetData>
  <mergeCells count="2">
    <mergeCell ref="B25:C25"/>
    <mergeCell ref="B1:C1"/>
  </mergeCells>
  <conditionalFormatting sqref="B1:J60">
    <cfRule type="expression" priority="1" dxfId="0">
      <formula>ISNUMBER(SEARCH("✓",B1))</formula>
    </cfRule>
    <cfRule type="expression" priority="2" dxfId="1">
      <formula>ISNUMBER(SEARCH("✗",B1))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2" customWidth="1" min="3" max="3"/>
    <col width="14" customWidth="1" min="4" max="4"/>
    <col width="14" customWidth="1" min="5" max="5"/>
    <col width="40" customWidth="1" min="6" max="6"/>
  </cols>
  <sheetData>
    <row r="1" ht="32" customHeight="1">
      <c r="B1" s="12" t="inlineStr">
        <is>
          <t>1 · Informationsgehalt</t>
        </is>
      </c>
    </row>
    <row r="2">
      <c r="B2" s="2" t="inlineStr">
        <is>
          <t>I(x) = ld(1/p)  [bit]   —   je seltener, desto mehr Information</t>
        </is>
      </c>
    </row>
    <row r="4">
      <c r="B4" s="3" t="inlineStr">
        <is>
          <t>Beispiel (gelöst)</t>
        </is>
      </c>
      <c r="C4" s="4" t="n"/>
      <c r="D4" s="4" t="n"/>
      <c r="E4" s="4" t="n"/>
    </row>
    <row r="5">
      <c r="B5" s="8" t="inlineStr">
        <is>
          <t>Zeichen</t>
        </is>
      </c>
      <c r="C5" s="8" t="inlineStr">
        <is>
          <t>p</t>
        </is>
      </c>
      <c r="D5" s="8" t="inlineStr">
        <is>
          <t>I [bit]</t>
        </is>
      </c>
    </row>
    <row r="6">
      <c r="B6" s="13" t="inlineStr">
        <is>
          <t>Quelle sendet immer x</t>
        </is>
      </c>
      <c r="C6" s="14" t="n">
        <v>1</v>
      </c>
      <c r="D6" s="15">
        <f>LOG(1/C6,2)</f>
        <v/>
      </c>
      <c r="F6" s="16" t="inlineStr">
        <is>
          <t>← Formel: =LOG(1/C6;2)</t>
        </is>
      </c>
    </row>
    <row r="7">
      <c r="B7" s="13" t="inlineStr">
        <is>
          <t>Binär: 0</t>
        </is>
      </c>
      <c r="C7" s="14" t="n">
        <v>0.5</v>
      </c>
      <c r="D7" s="15">
        <f>LOG(1/C7,2)</f>
        <v/>
      </c>
    </row>
    <row r="8">
      <c r="B8" s="13" t="inlineStr">
        <is>
          <t>„b“ im Deutschen</t>
        </is>
      </c>
      <c r="C8" s="14" t="n">
        <v>0.016</v>
      </c>
      <c r="D8" s="15">
        <f>LOG(1/C8,2)</f>
        <v/>
      </c>
    </row>
    <row r="10">
      <c r="B10" s="3" t="inlineStr">
        <is>
          <t>Übung A – berechne I</t>
        </is>
      </c>
      <c r="C10" s="4" t="n"/>
      <c r="D10" s="4" t="n"/>
      <c r="E10" s="4" t="n"/>
    </row>
    <row r="11">
      <c r="B11" s="8" t="inlineStr">
        <is>
          <t>Zeichen</t>
        </is>
      </c>
      <c r="C11" s="8" t="inlineStr">
        <is>
          <t>p</t>
        </is>
      </c>
      <c r="D11" s="8" t="inlineStr">
        <is>
          <t>I [bit] (DU)</t>
        </is>
      </c>
      <c r="E11" s="8" t="inlineStr">
        <is>
          <t>Check</t>
        </is>
      </c>
    </row>
    <row r="12">
      <c r="B12" s="13" t="inlineStr">
        <is>
          <t>Münze: Kopf</t>
        </is>
      </c>
      <c r="C12" s="17" t="n">
        <v>0.5</v>
      </c>
      <c r="D12" s="18" t="n"/>
      <c r="E12" s="19">
        <f>IF(ISBLANK(D12),"",IF(ABS(D12-(1.0))&lt;0.001,"✓ richtig","✗ nochmal"))</f>
        <v/>
      </c>
    </row>
    <row r="13">
      <c r="B13" s="13" t="inlineStr">
        <is>
          <t>Würfel: 6</t>
        </is>
      </c>
      <c r="C13" s="17" t="n">
        <v>0.1666666666666667</v>
      </c>
      <c r="D13" s="18" t="n"/>
      <c r="E13" s="19">
        <f>IF(ISBLANK(D13),"",IF(ABS(D13-(2.584962500721156))&lt;0.001,"✓ richtig","✗ nochmal"))</f>
        <v/>
      </c>
    </row>
    <row r="14">
      <c r="B14" s="13" t="inlineStr">
        <is>
          <t>Buchstabe e (Deutsch)</t>
        </is>
      </c>
      <c r="C14" s="17" t="n">
        <v>0.174</v>
      </c>
      <c r="D14" s="18" t="n"/>
      <c r="E14" s="19">
        <f>IF(ISBLANK(D14),"",IF(ABS(D14-(2.522840788813359))&lt;0.001,"✓ richtig","✗ nochmal"))</f>
        <v/>
      </c>
    </row>
    <row r="15">
      <c r="B15" s="13" t="inlineStr">
        <is>
          <t>1 von 16 Symbolen</t>
        </is>
      </c>
      <c r="C15" s="17" t="n">
        <v>0.0625</v>
      </c>
      <c r="D15" s="18" t="n"/>
      <c r="E15" s="19">
        <f>IF(ISBLANK(D15),"",IF(ABS(D15-(4.0))&lt;0.001,"✓ richtig","✗ nochmal"))</f>
        <v/>
      </c>
    </row>
    <row r="16">
      <c r="B16" s="13" t="inlineStr">
        <is>
          <t>1 von 1024</t>
        </is>
      </c>
      <c r="C16" s="17" t="n">
        <v>0.0009765625</v>
      </c>
      <c r="D16" s="18" t="n"/>
      <c r="E16" s="19">
        <f>IF(ISBLANK(D16),"",IF(ABS(D16-(10.0))&lt;0.001,"✓ richtig","✗ nochmal"))</f>
        <v/>
      </c>
    </row>
    <row r="17">
      <c r="B17" s="13" t="inlineStr">
        <is>
          <t>Lottozahl (1 aus 45)</t>
        </is>
      </c>
      <c r="C17" s="17" t="n">
        <v>0.02222222222222222</v>
      </c>
      <c r="D17" s="18" t="n"/>
      <c r="E17" s="19">
        <f>IF(ISBLANK(D17),"",IF(ABS(D17-(5.491853096329675))&lt;0.001,"✓ richtig","✗ nochmal"))</f>
        <v/>
      </c>
    </row>
    <row r="18">
      <c r="B18" s="20" t="inlineStr">
        <is>
          <t>I_ges (alle zusammen)</t>
        </is>
      </c>
      <c r="D18" s="18" t="n"/>
      <c r="E18" s="19">
        <f>IF(ISBLANK(D18),"",IF(ABS(D18-(25.59965638586419))&lt;0.001,"✓ richtig","✗ nochmal"))</f>
        <v/>
      </c>
    </row>
    <row r="21">
      <c r="B21" s="3" t="inlineStr">
        <is>
          <t>Übung B – rückwärts denken</t>
        </is>
      </c>
      <c r="C21" s="4" t="n"/>
      <c r="D21" s="4" t="n"/>
      <c r="E21" s="4" t="n"/>
    </row>
    <row r="22">
      <c r="B22" s="8" t="inlineStr">
        <is>
          <t>Frage</t>
        </is>
      </c>
      <c r="C22" s="8" t="inlineStr"/>
      <c r="D22" s="8" t="inlineStr">
        <is>
          <t>Antwort (DU)</t>
        </is>
      </c>
      <c r="E22" s="8" t="inlineStr">
        <is>
          <t>Check</t>
        </is>
      </c>
    </row>
    <row r="23">
      <c r="B23" s="13" t="inlineStr">
        <is>
          <t>I = 4 bit → p = ?</t>
        </is>
      </c>
      <c r="D23" s="21" t="n"/>
      <c r="E23" s="19">
        <f>IF(ISBLANK(D23),"",IF(ABS(D23-(0.0625))&lt;0.001,"✓ richtig","✗ nochmal"))</f>
        <v/>
      </c>
    </row>
    <row r="24">
      <c r="B24" s="13" t="inlineStr">
        <is>
          <t>2^k Symbole, k=5 → I = ?</t>
        </is>
      </c>
      <c r="D24" s="18" t="n"/>
      <c r="E24" s="19">
        <f>IF(ISBLANK(D24),"",IF(ABS(D24-(5))&lt;0.001,"✓ richtig","✗ nochmal"))</f>
        <v/>
      </c>
    </row>
  </sheetData>
  <mergeCells count="2">
    <mergeCell ref="B2:F2"/>
    <mergeCell ref="B1:F1"/>
  </mergeCells>
  <conditionalFormatting sqref="B1:J60">
    <cfRule type="expression" priority="1" dxfId="0">
      <formula>ISNUMBER(SEARCH("✓",B1))</formula>
    </cfRule>
    <cfRule type="expression" priority="2" dxfId="1">
      <formula>ISNUMBER(SEARCH("✗",B1))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4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2" customWidth="1" min="3" max="3"/>
    <col width="18" customWidth="1" min="4" max="4"/>
    <col width="14" customWidth="1" min="5" max="5"/>
    <col width="40" customWidth="1" min="6" max="6"/>
  </cols>
  <sheetData>
    <row r="1" ht="32" customHeight="1">
      <c r="B1" s="12" t="inlineStr">
        <is>
          <t>2 · Entropie</t>
        </is>
      </c>
    </row>
    <row r="2">
      <c r="B2" s="2" t="inlineStr">
        <is>
          <t>H = Σ p · ld(1/p)  [bit/Zeichen]   —   mittlere Information einer Quelle</t>
        </is>
      </c>
    </row>
    <row r="4">
      <c r="B4" s="3" t="inlineStr">
        <is>
          <t>Beispiel (gelöst) – 0,5 / 0,25 / 0,125 / 0,125</t>
        </is>
      </c>
      <c r="C4" s="4" t="n"/>
      <c r="D4" s="4" t="n"/>
      <c r="E4" s="4" t="n"/>
    </row>
    <row r="5">
      <c r="B5" s="8" t="inlineStr">
        <is>
          <t>Zeichen</t>
        </is>
      </c>
      <c r="C5" s="8" t="inlineStr">
        <is>
          <t>p</t>
        </is>
      </c>
      <c r="D5" s="8" t="inlineStr">
        <is>
          <t>p·ld(1/p)</t>
        </is>
      </c>
    </row>
    <row r="6">
      <c r="B6" s="22" t="inlineStr">
        <is>
          <t>a</t>
        </is>
      </c>
      <c r="C6" s="14" t="n">
        <v>0.5</v>
      </c>
      <c r="D6" s="15">
        <f>C6*LOG(1/C6,2)</f>
        <v/>
      </c>
      <c r="F6" s="16" t="inlineStr">
        <is>
          <t>← =C6*LOG(1/C6;2)</t>
        </is>
      </c>
    </row>
    <row r="7">
      <c r="B7" s="22" t="inlineStr">
        <is>
          <t>b</t>
        </is>
      </c>
      <c r="C7" s="14" t="n">
        <v>0.25</v>
      </c>
      <c r="D7" s="15">
        <f>C7*LOG(1/C7,2)</f>
        <v/>
      </c>
    </row>
    <row r="8">
      <c r="B8" s="22" t="inlineStr">
        <is>
          <t>c</t>
        </is>
      </c>
      <c r="C8" s="14" t="n">
        <v>0.125</v>
      </c>
      <c r="D8" s="15">
        <f>C8*LOG(1/C8,2)</f>
        <v/>
      </c>
    </row>
    <row r="9">
      <c r="B9" s="22" t="inlineStr">
        <is>
          <t>d</t>
        </is>
      </c>
      <c r="C9" s="14" t="n">
        <v>0.125</v>
      </c>
      <c r="D9" s="15">
        <f>C9*LOG(1/C9,2)</f>
        <v/>
      </c>
    </row>
    <row r="10">
      <c r="B10" s="23" t="inlineStr">
        <is>
          <t>H</t>
        </is>
      </c>
      <c r="D10" s="24">
        <f>SUM(D6:D9)</f>
        <v/>
      </c>
      <c r="F10" s="16" t="inlineStr">
        <is>
          <t>← =SUMME(D6:D9)</t>
        </is>
      </c>
    </row>
    <row r="11">
      <c r="F11" s="16" t="inlineStr">
        <is>
          <t>oder alles in 1: =SUMMENPRODUKT(C6:C9;LOG(1/C6:C9;2))</t>
        </is>
      </c>
    </row>
    <row r="13">
      <c r="B13" s="3" t="inlineStr">
        <is>
          <t>Übung A – fairer Würfel</t>
        </is>
      </c>
      <c r="C13" s="4" t="n"/>
      <c r="D13" s="4" t="n"/>
      <c r="E13" s="4" t="n"/>
      <c r="F13" s="4" t="n"/>
    </row>
    <row r="14">
      <c r="B14" s="8" t="inlineStr">
        <is>
          <t>Zeichen</t>
        </is>
      </c>
      <c r="C14" s="8" t="inlineStr">
        <is>
          <t>p</t>
        </is>
      </c>
      <c r="D14" s="8" t="inlineStr">
        <is>
          <t>p·ld(1/p) (DU)</t>
        </is>
      </c>
      <c r="E14" s="8" t="inlineStr">
        <is>
          <t>Check</t>
        </is>
      </c>
    </row>
    <row r="15">
      <c r="B15" s="22" t="inlineStr">
        <is>
          <t>1</t>
        </is>
      </c>
      <c r="C15" s="17" t="n">
        <v>0.1666666666666667</v>
      </c>
      <c r="D15" s="18" t="n"/>
      <c r="E15" s="19">
        <f>IF(ISBLANK(D15),"",IF(ABS(D15-(0.430827083453526))&lt;0.001,"✓ richtig","✗ nochmal"))</f>
        <v/>
      </c>
    </row>
    <row r="16">
      <c r="B16" s="22" t="inlineStr">
        <is>
          <t>2</t>
        </is>
      </c>
      <c r="C16" s="17" t="n">
        <v>0.1666666666666667</v>
      </c>
      <c r="D16" s="18" t="n"/>
      <c r="E16" s="19">
        <f>IF(ISBLANK(D16),"",IF(ABS(D16-(0.430827083453526))&lt;0.001,"✓ richtig","✗ nochmal"))</f>
        <v/>
      </c>
    </row>
    <row r="17">
      <c r="B17" s="22" t="inlineStr">
        <is>
          <t>3</t>
        </is>
      </c>
      <c r="C17" s="17" t="n">
        <v>0.1666666666666667</v>
      </c>
      <c r="D17" s="18" t="n"/>
      <c r="E17" s="19">
        <f>IF(ISBLANK(D17),"",IF(ABS(D17-(0.430827083453526))&lt;0.001,"✓ richtig","✗ nochmal"))</f>
        <v/>
      </c>
    </row>
    <row r="18">
      <c r="B18" s="22" t="inlineStr">
        <is>
          <t>4</t>
        </is>
      </c>
      <c r="C18" s="17" t="n">
        <v>0.1666666666666667</v>
      </c>
      <c r="D18" s="18" t="n"/>
      <c r="E18" s="19">
        <f>IF(ISBLANK(D18),"",IF(ABS(D18-(0.430827083453526))&lt;0.001,"✓ richtig","✗ nochmal"))</f>
        <v/>
      </c>
    </row>
    <row r="19">
      <c r="B19" s="22" t="inlineStr">
        <is>
          <t>5</t>
        </is>
      </c>
      <c r="C19" s="17" t="n">
        <v>0.1666666666666667</v>
      </c>
      <c r="D19" s="18" t="n"/>
      <c r="E19" s="19">
        <f>IF(ISBLANK(D19),"",IF(ABS(D19-(0.430827083453526))&lt;0.001,"✓ richtig","✗ nochmal"))</f>
        <v/>
      </c>
    </row>
    <row r="20">
      <c r="B20" s="22" t="inlineStr">
        <is>
          <t>6</t>
        </is>
      </c>
      <c r="C20" s="17" t="n">
        <v>0.1666666666666667</v>
      </c>
      <c r="D20" s="18" t="n"/>
      <c r="E20" s="19">
        <f>IF(ISBLANK(D20),"",IF(ABS(D20-(0.430827083453526))&lt;0.001,"✓ richtig","✗ nochmal"))</f>
        <v/>
      </c>
    </row>
    <row r="21">
      <c r="B21" s="23" t="inlineStr">
        <is>
          <t>H (Summe)</t>
        </is>
      </c>
      <c r="D21" s="18" t="n"/>
      <c r="E21" s="19">
        <f>IF(ISBLANK(D21),"",IF(ABS(D21-(2.584962500721156))&lt;0.001,"✓ richtig","✗ nochmal"))</f>
        <v/>
      </c>
    </row>
    <row r="22">
      <c r="B22" s="23" t="inlineStr">
        <is>
          <t>H in 1 Formel</t>
        </is>
      </c>
      <c r="D22" s="18" t="n"/>
      <c r="E22" s="19">
        <f>IF(ISBLANK(D22),"",IF(ABS(D22-(2.584962500721156))&lt;0.001,"✓ richtig","✗ nochmal"))</f>
        <v/>
      </c>
    </row>
    <row r="23">
      <c r="B23" s="23" t="inlineStr">
        <is>
          <t>H_max = ld(n)</t>
        </is>
      </c>
      <c r="D23" s="18" t="n"/>
      <c r="E23" s="19">
        <f>IF(ISBLANK(D23),"",IF(ABS(D23-(2.584962500721156))&lt;0.001,"✓ richtig","✗ nochmal"))</f>
        <v/>
      </c>
    </row>
    <row r="25">
      <c r="B25" s="3" t="inlineStr">
        <is>
          <t>Übung B – 0,4 / 0,3 / 0,2 / 0,1</t>
        </is>
      </c>
      <c r="C25" s="4" t="n"/>
      <c r="D25" s="4" t="n"/>
      <c r="E25" s="4" t="n"/>
      <c r="F25" s="4" t="n"/>
    </row>
    <row r="26">
      <c r="B26" s="8" t="inlineStr">
        <is>
          <t>Zeichen</t>
        </is>
      </c>
      <c r="C26" s="8" t="inlineStr">
        <is>
          <t>p</t>
        </is>
      </c>
      <c r="D26" s="8" t="inlineStr">
        <is>
          <t>p·ld(1/p) (DU)</t>
        </is>
      </c>
      <c r="E26" s="8" t="inlineStr">
        <is>
          <t>Check</t>
        </is>
      </c>
    </row>
    <row r="27">
      <c r="B27" s="22" t="inlineStr">
        <is>
          <t>a</t>
        </is>
      </c>
      <c r="C27" s="17" t="n">
        <v>0.4</v>
      </c>
      <c r="D27" s="18" t="n"/>
      <c r="E27" s="19">
        <f>IF(ISBLANK(D27),"",IF(ABS(D27-(0.528771237954945))&lt;0.001,"✓ richtig","✗ nochmal"))</f>
        <v/>
      </c>
    </row>
    <row r="28">
      <c r="B28" s="22" t="inlineStr">
        <is>
          <t>b</t>
        </is>
      </c>
      <c r="C28" s="17" t="n">
        <v>0.3</v>
      </c>
      <c r="D28" s="18" t="n"/>
      <c r="E28" s="19">
        <f>IF(ISBLANK(D28),"",IF(ABS(D28-(0.5210896782498619))&lt;0.001,"✓ richtig","✗ nochmal"))</f>
        <v/>
      </c>
    </row>
    <row r="29">
      <c r="B29" s="22" t="inlineStr">
        <is>
          <t>c</t>
        </is>
      </c>
      <c r="C29" s="17" t="n">
        <v>0.2</v>
      </c>
      <c r="D29" s="18" t="n"/>
      <c r="E29" s="19">
        <f>IF(ISBLANK(D29),"",IF(ABS(D29-(0.46438561897747244))&lt;0.001,"✓ richtig","✗ nochmal"))</f>
        <v/>
      </c>
    </row>
    <row r="30">
      <c r="B30" s="22" t="inlineStr">
        <is>
          <t>d</t>
        </is>
      </c>
      <c r="C30" s="17" t="n">
        <v>0.1</v>
      </c>
      <c r="D30" s="18" t="n"/>
      <c r="E30" s="19">
        <f>IF(ISBLANK(D30),"",IF(ABS(D30-(0.33219280948873625))&lt;0.001,"✓ richtig","✗ nochmal"))</f>
        <v/>
      </c>
    </row>
    <row r="31">
      <c r="B31" s="23" t="inlineStr">
        <is>
          <t>H (Summe)</t>
        </is>
      </c>
      <c r="D31" s="18" t="n"/>
      <c r="E31" s="19">
        <f>IF(ISBLANK(D31),"",IF(ABS(D31-(1.8464393446710154))&lt;0.001,"✓ richtig","✗ nochmal"))</f>
        <v/>
      </c>
    </row>
    <row r="32">
      <c r="B32" s="23" t="inlineStr">
        <is>
          <t>H in 1 Formel</t>
        </is>
      </c>
      <c r="D32" s="18" t="n"/>
      <c r="E32" s="19">
        <f>IF(ISBLANK(D32),"",IF(ABS(D32-(1.8464393446710154))&lt;0.001,"✓ richtig","✗ nochmal"))</f>
        <v/>
      </c>
    </row>
    <row r="33">
      <c r="B33" s="23" t="inlineStr">
        <is>
          <t>H_max = ld(n)</t>
        </is>
      </c>
      <c r="D33" s="18" t="n"/>
      <c r="E33" s="19">
        <f>IF(ISBLANK(D33),"",IF(ABS(D33-(2.0))&lt;0.001,"✓ richtig","✗ nochmal"))</f>
        <v/>
      </c>
    </row>
    <row r="35">
      <c r="B35" s="3" t="inlineStr">
        <is>
          <t>Übung C – 0,7 / 0,2 / 0,1</t>
        </is>
      </c>
      <c r="C35" s="4" t="n"/>
      <c r="D35" s="4" t="n"/>
      <c r="E35" s="4" t="n"/>
      <c r="F35" s="4" t="n"/>
    </row>
    <row r="36">
      <c r="B36" s="8" t="inlineStr">
        <is>
          <t>Zeichen</t>
        </is>
      </c>
      <c r="C36" s="8" t="inlineStr">
        <is>
          <t>p</t>
        </is>
      </c>
      <c r="D36" s="8" t="inlineStr">
        <is>
          <t>p·ld(1/p) (DU)</t>
        </is>
      </c>
      <c r="E36" s="8" t="inlineStr">
        <is>
          <t>Check</t>
        </is>
      </c>
    </row>
    <row r="37">
      <c r="B37" s="22" t="inlineStr">
        <is>
          <t>a</t>
        </is>
      </c>
      <c r="C37" s="17" t="n">
        <v>0.7</v>
      </c>
      <c r="D37" s="18" t="n"/>
      <c r="E37" s="19">
        <f>IF(ISBLANK(D37),"",IF(ABS(D37-(0.36020122098083074))&lt;0.001,"✓ richtig","✗ nochmal"))</f>
        <v/>
      </c>
    </row>
    <row r="38">
      <c r="B38" s="22" t="inlineStr">
        <is>
          <t>b</t>
        </is>
      </c>
      <c r="C38" s="17" t="n">
        <v>0.2</v>
      </c>
      <c r="D38" s="18" t="n"/>
      <c r="E38" s="19">
        <f>IF(ISBLANK(D38),"",IF(ABS(D38-(0.46438561897747244))&lt;0.001,"✓ richtig","✗ nochmal"))</f>
        <v/>
      </c>
    </row>
    <row r="39">
      <c r="B39" s="22" t="inlineStr">
        <is>
          <t>c</t>
        </is>
      </c>
      <c r="C39" s="17" t="n">
        <v>0.1</v>
      </c>
      <c r="D39" s="18" t="n"/>
      <c r="E39" s="19">
        <f>IF(ISBLANK(D39),"",IF(ABS(D39-(0.33219280948873625))&lt;0.001,"✓ richtig","✗ nochmal"))</f>
        <v/>
      </c>
    </row>
    <row r="40">
      <c r="B40" s="23" t="inlineStr">
        <is>
          <t>H (Summe)</t>
        </is>
      </c>
      <c r="D40" s="18" t="n"/>
      <c r="E40" s="19">
        <f>IF(ISBLANK(D40),"",IF(ABS(D40-(1.1567796494470395))&lt;0.001,"✓ richtig","✗ nochmal"))</f>
        <v/>
      </c>
    </row>
    <row r="41">
      <c r="B41" s="23" t="inlineStr">
        <is>
          <t>H in 1 Formel</t>
        </is>
      </c>
      <c r="D41" s="18" t="n"/>
      <c r="E41" s="19">
        <f>IF(ISBLANK(D41),"",IF(ABS(D41-(1.1567796494470395))&lt;0.001,"✓ richtig","✗ nochmal"))</f>
        <v/>
      </c>
    </row>
    <row r="42">
      <c r="B42" s="23" t="inlineStr">
        <is>
          <t>H_max = ld(n)</t>
        </is>
      </c>
      <c r="D42" s="18" t="n"/>
      <c r="E42" s="19">
        <f>IF(ISBLANK(D42),"",IF(ABS(D42-(1.584962500721156))&lt;0.001,"✓ richtig","✗ nochmal"))</f>
        <v/>
      </c>
    </row>
    <row r="44">
      <c r="B44" s="11" t="inlineStr">
        <is>
          <t>Frage zum Nachdenken: Warum ist H bei Übung C so viel kleiner als H_max? (→ ungleiche Verteilung = weniger Überraschung)</t>
        </is>
      </c>
    </row>
  </sheetData>
  <mergeCells count="3">
    <mergeCell ref="B2:F2"/>
    <mergeCell ref="B44:F44"/>
    <mergeCell ref="B1:F1"/>
  </mergeCells>
  <conditionalFormatting sqref="B1:J60">
    <cfRule type="expression" priority="1" dxfId="0">
      <formula>ISNUMBER(SEARCH("✓",B1))</formula>
    </cfRule>
    <cfRule type="expression" priority="2" dxfId="1">
      <formula>ISNUMBER(SEARCH("✗",B1))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0" customWidth="1" min="3" max="3"/>
    <col width="14" customWidth="1" min="4" max="4"/>
    <col width="14" customWidth="1" min="5" max="5"/>
    <col width="14" customWidth="1" min="6" max="6"/>
    <col width="16" customWidth="1" min="7" max="7"/>
    <col width="30" customWidth="1" min="8" max="8"/>
  </cols>
  <sheetData>
    <row r="1" ht="32" customHeight="1">
      <c r="B1" s="12" t="inlineStr">
        <is>
          <t>3 · Codierung &amp; Shannon-Theorem</t>
        </is>
      </c>
    </row>
    <row r="2">
      <c r="B2" s="2" t="inlineStr">
        <is>
          <t>L = Σ p·l    |    R = L − H    |    Shannon: H ≤ L</t>
        </is>
      </c>
    </row>
    <row r="4">
      <c r="B4" s="3" t="inlineStr">
        <is>
          <t>Beispiel (gelöst) – Huffman, optimal</t>
        </is>
      </c>
      <c r="C4" s="4" t="n"/>
      <c r="D4" s="4" t="n"/>
      <c r="E4" s="4" t="n"/>
      <c r="F4" s="4" t="n"/>
      <c r="G4" s="4" t="n"/>
    </row>
    <row r="5">
      <c r="B5" s="8" t="inlineStr">
        <is>
          <t>Zeichen</t>
        </is>
      </c>
      <c r="C5" s="8" t="inlineStr">
        <is>
          <t>p</t>
        </is>
      </c>
      <c r="D5" s="8" t="inlineStr">
        <is>
          <t>Code</t>
        </is>
      </c>
      <c r="E5" s="8" t="inlineStr">
        <is>
          <t>Länge l</t>
        </is>
      </c>
      <c r="F5" s="8" t="inlineStr">
        <is>
          <t>p·l</t>
        </is>
      </c>
      <c r="G5" s="8" t="inlineStr">
        <is>
          <t>p·ld(1/p)</t>
        </is>
      </c>
    </row>
    <row r="6">
      <c r="B6" s="22" t="inlineStr">
        <is>
          <t>a</t>
        </is>
      </c>
      <c r="C6" s="14" t="n">
        <v>0.5</v>
      </c>
      <c r="D6" s="25" t="inlineStr">
        <is>
          <t>0</t>
        </is>
      </c>
      <c r="E6" s="26">
        <f>LEN(D6)</f>
        <v/>
      </c>
      <c r="F6" s="15">
        <f>C6*E6</f>
        <v/>
      </c>
      <c r="G6" s="15">
        <f>C6*LOG(1/C6,2)</f>
        <v/>
      </c>
      <c r="H6" s="16" t="inlineStr">
        <is>
          <t>← =LÄNGE(D6)</t>
        </is>
      </c>
    </row>
    <row r="7">
      <c r="B7" s="22" t="inlineStr">
        <is>
          <t>b</t>
        </is>
      </c>
      <c r="C7" s="14" t="n">
        <v>0.25</v>
      </c>
      <c r="D7" s="25" t="inlineStr">
        <is>
          <t>10</t>
        </is>
      </c>
      <c r="E7" s="26">
        <f>LEN(D7)</f>
        <v/>
      </c>
      <c r="F7" s="15">
        <f>C7*E7</f>
        <v/>
      </c>
      <c r="G7" s="15">
        <f>C7*LOG(1/C7,2)</f>
        <v/>
      </c>
      <c r="H7" s="16" t="inlineStr">
        <is>
          <t>← p·l: =C6*E6</t>
        </is>
      </c>
    </row>
    <row r="8">
      <c r="B8" s="22" t="inlineStr">
        <is>
          <t>c</t>
        </is>
      </c>
      <c r="C8" s="14" t="n">
        <v>0.125</v>
      </c>
      <c r="D8" s="25" t="inlineStr">
        <is>
          <t>110</t>
        </is>
      </c>
      <c r="E8" s="26">
        <f>LEN(D8)</f>
        <v/>
      </c>
      <c r="F8" s="15">
        <f>C8*E8</f>
        <v/>
      </c>
      <c r="G8" s="15">
        <f>C8*LOG(1/C8,2)</f>
        <v/>
      </c>
    </row>
    <row r="9">
      <c r="B9" s="22" t="inlineStr">
        <is>
          <t>d</t>
        </is>
      </c>
      <c r="C9" s="14" t="n">
        <v>0.125</v>
      </c>
      <c r="D9" s="25" t="inlineStr">
        <is>
          <t>111</t>
        </is>
      </c>
      <c r="E9" s="26">
        <f>LEN(D9)</f>
        <v/>
      </c>
      <c r="F9" s="15">
        <f>C9*E9</f>
        <v/>
      </c>
      <c r="G9" s="15">
        <f>C9*LOG(1/C9,2)</f>
        <v/>
      </c>
    </row>
    <row r="10">
      <c r="B10" s="23" t="inlineStr">
        <is>
          <t>L</t>
        </is>
      </c>
      <c r="F10" s="24">
        <f>SUM(F6:F9)</f>
        <v/>
      </c>
      <c r="H10" s="16" t="inlineStr">
        <is>
          <t>← =SUMME(F6:F9)</t>
        </is>
      </c>
    </row>
    <row r="11">
      <c r="B11" s="23" t="inlineStr">
        <is>
          <t>H</t>
        </is>
      </c>
      <c r="F11" s="24">
        <f>SUM(G6:G9)</f>
        <v/>
      </c>
    </row>
    <row r="12">
      <c r="B12" s="23" t="inlineStr">
        <is>
          <t>R = L − H</t>
        </is>
      </c>
      <c r="F12" s="24">
        <f>F10-F11</f>
        <v/>
      </c>
    </row>
    <row r="13">
      <c r="B13" s="23" t="inlineStr">
        <is>
          <t>H ≤ L ?</t>
        </is>
      </c>
      <c r="F13" s="24">
        <f>IF(F11&lt;=F10,"ja","nein")</f>
        <v/>
      </c>
      <c r="H13" s="16" t="inlineStr">
        <is>
          <t>← =WENN(F11&lt;=F10;"ja";"nein")</t>
        </is>
      </c>
    </row>
    <row r="16">
      <c r="B16" s="3" t="inlineStr">
        <is>
          <t>Übung – gleicher Code, andere p</t>
        </is>
      </c>
      <c r="C16" s="4" t="n"/>
      <c r="D16" s="4" t="n"/>
      <c r="E16" s="4" t="n"/>
      <c r="F16" s="4" t="n"/>
      <c r="G16" s="4" t="n"/>
      <c r="H16" s="4" t="n"/>
    </row>
    <row r="17">
      <c r="B17" s="8" t="inlineStr">
        <is>
          <t>Zeichen</t>
        </is>
      </c>
      <c r="C17" s="8" t="inlineStr">
        <is>
          <t>p</t>
        </is>
      </c>
      <c r="D17" s="8" t="inlineStr">
        <is>
          <t>Code</t>
        </is>
      </c>
      <c r="E17" s="8" t="inlineStr">
        <is>
          <t>Länge l (DU)</t>
        </is>
      </c>
      <c r="F17" s="8" t="inlineStr">
        <is>
          <t>p·l (DU)</t>
        </is>
      </c>
      <c r="G17" s="8" t="inlineStr">
        <is>
          <t>p·ld(1/p) (DU)</t>
        </is>
      </c>
      <c r="H17" s="8" t="inlineStr">
        <is>
          <t>Check (Zeile)</t>
        </is>
      </c>
    </row>
    <row r="18">
      <c r="B18" s="22" t="inlineStr">
        <is>
          <t>a</t>
        </is>
      </c>
      <c r="C18" s="14" t="n">
        <v>0.4</v>
      </c>
      <c r="D18" s="25" t="inlineStr">
        <is>
          <t>0</t>
        </is>
      </c>
      <c r="E18" s="27" t="n"/>
      <c r="F18" s="18" t="n"/>
      <c r="G18" s="18" t="n"/>
      <c r="H18" s="19">
        <f>IF(COUNTBLANK(E18:G18)=3,"",IF(AND(E18=1,ABS(F18-0.4)&lt;0.001,ABS(G18-0.528771237954945)&lt;0.001),"✓ richtig","✗ nochmal"))</f>
        <v/>
      </c>
    </row>
    <row r="19">
      <c r="B19" s="22" t="inlineStr">
        <is>
          <t>b</t>
        </is>
      </c>
      <c r="C19" s="14" t="n">
        <v>0.3</v>
      </c>
      <c r="D19" s="25" t="inlineStr">
        <is>
          <t>10</t>
        </is>
      </c>
      <c r="E19" s="27" t="n"/>
      <c r="F19" s="18" t="n"/>
      <c r="G19" s="18" t="n"/>
      <c r="H19" s="19">
        <f>IF(COUNTBLANK(E19:G19)=3,"",IF(AND(E19=2,ABS(F19-0.6)&lt;0.001,ABS(G19-0.5210896782498619)&lt;0.001),"✓ richtig","✗ nochmal"))</f>
        <v/>
      </c>
    </row>
    <row r="20">
      <c r="B20" s="22" t="inlineStr">
        <is>
          <t>c</t>
        </is>
      </c>
      <c r="C20" s="14" t="n">
        <v>0.2</v>
      </c>
      <c r="D20" s="25" t="inlineStr">
        <is>
          <t>110</t>
        </is>
      </c>
      <c r="E20" s="27" t="n"/>
      <c r="F20" s="18" t="n"/>
      <c r="G20" s="18" t="n"/>
      <c r="H20" s="19">
        <f>IF(COUNTBLANK(E20:G20)=3,"",IF(AND(E20=3,ABS(F20-0.6000000000000001)&lt;0.001,ABS(G20-0.46438561897747244)&lt;0.001),"✓ richtig","✗ nochmal"))</f>
        <v/>
      </c>
    </row>
    <row r="21">
      <c r="B21" s="22" t="inlineStr">
        <is>
          <t>d</t>
        </is>
      </c>
      <c r="C21" s="14" t="n">
        <v>0.1</v>
      </c>
      <c r="D21" s="25" t="inlineStr">
        <is>
          <t>111</t>
        </is>
      </c>
      <c r="E21" s="27" t="n"/>
      <c r="F21" s="18" t="n"/>
      <c r="G21" s="18" t="n"/>
      <c r="H21" s="19">
        <f>IF(COUNTBLANK(E21:G21)=3,"",IF(AND(E21=3,ABS(F21-0.30000000000000004)&lt;0.001,ABS(G21-0.33219280948873625)&lt;0.001),"✓ richtig","✗ nochmal"))</f>
        <v/>
      </c>
    </row>
    <row r="22">
      <c r="B22" s="23" t="inlineStr">
        <is>
          <t>L</t>
        </is>
      </c>
      <c r="F22" s="18" t="n"/>
      <c r="H22" s="19">
        <f>IF(ISBLANK(F22),"",IF(ABS(F22-(1.9000000000000001))&lt;0.001,"✓ richtig","✗ nochmal"))</f>
        <v/>
      </c>
    </row>
    <row r="23">
      <c r="B23" s="23" t="inlineStr">
        <is>
          <t>H</t>
        </is>
      </c>
      <c r="F23" s="18" t="n"/>
      <c r="H23" s="19">
        <f>IF(ISBLANK(F23),"",IF(ABS(F23-(1.8464393446710154))&lt;0.001,"✓ richtig","✗ nochmal"))</f>
        <v/>
      </c>
    </row>
    <row r="24">
      <c r="B24" s="23" t="inlineStr">
        <is>
          <t>R = L − H</t>
        </is>
      </c>
      <c r="F24" s="18" t="n"/>
      <c r="H24" s="19">
        <f>IF(ISBLANK(F24),"",IF(ABS(F24-(0.053560655328984685))&lt;0.001,"✓ richtig","✗ nochmal"))</f>
        <v/>
      </c>
    </row>
    <row r="25">
      <c r="B25" s="23" t="inlineStr">
        <is>
          <t>H ≤ L ?</t>
        </is>
      </c>
      <c r="F25" s="27" t="n"/>
      <c r="H25" s="19">
        <f>IF(ISBLANK(F25),"",IF(F25="ja","✓ richtig","✗ nochmal"))</f>
        <v/>
      </c>
    </row>
    <row r="27">
      <c r="B27" s="11" t="inlineStr">
        <is>
          <t>Bonus: Ändere die Codes (z. B. 00/01/10/11). Wird L größer oder kleiner? Ist der Code noch eindeutig decodierbar (injektiv / präfixfrei)?</t>
        </is>
      </c>
    </row>
  </sheetData>
  <mergeCells count="3">
    <mergeCell ref="B1:H1"/>
    <mergeCell ref="B2:H2"/>
    <mergeCell ref="B27:H27"/>
  </mergeCells>
  <conditionalFormatting sqref="B1:J60">
    <cfRule type="expression" priority="1" dxfId="0">
      <formula>ISNUMBER(SEARCH("✓",B1))</formula>
    </cfRule>
    <cfRule type="expression" priority="2" dxfId="1">
      <formula>ISNUMBER(SEARCH("✗",B1))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0" customWidth="1" min="3" max="3"/>
    <col width="56" customWidth="1" min="4" max="4"/>
  </cols>
  <sheetData>
    <row r="1" ht="32" customHeight="1">
      <c r="B1" s="28" t="inlineStr">
        <is>
          <t>Lösungen – erst selbst probieren!</t>
        </is>
      </c>
    </row>
    <row r="3">
      <c r="B3" s="8" t="inlineStr">
        <is>
          <t>Blatt</t>
        </is>
      </c>
      <c r="C3" s="8" t="inlineStr">
        <is>
          <t>Zelle</t>
        </is>
      </c>
      <c r="D3" s="8" t="inlineStr">
        <is>
          <t>Formel (deutsches Excel)</t>
        </is>
      </c>
    </row>
    <row r="4">
      <c r="B4" s="9" t="inlineStr">
        <is>
          <t>1 Informationsgehalt</t>
        </is>
      </c>
      <c r="C4" s="9" t="inlineStr">
        <is>
          <t>D12</t>
        </is>
      </c>
      <c r="D4" s="29" t="inlineStr">
        <is>
          <t>=LOG(1/C12;2)</t>
        </is>
      </c>
    </row>
    <row r="5">
      <c r="B5" s="9" t="inlineStr">
        <is>
          <t>1 Informationsgehalt</t>
        </is>
      </c>
      <c r="C5" s="9" t="inlineStr">
        <is>
          <t>D13</t>
        </is>
      </c>
      <c r="D5" s="29" t="inlineStr">
        <is>
          <t>=LOG(1/C13;2)</t>
        </is>
      </c>
    </row>
    <row r="6">
      <c r="B6" s="9" t="inlineStr">
        <is>
          <t>1 Informationsgehalt</t>
        </is>
      </c>
      <c r="C6" s="9" t="inlineStr">
        <is>
          <t>D14</t>
        </is>
      </c>
      <c r="D6" s="29" t="inlineStr">
        <is>
          <t>=LOG(1/C14;2)</t>
        </is>
      </c>
    </row>
    <row r="7">
      <c r="B7" s="9" t="inlineStr">
        <is>
          <t>1 Informationsgehalt</t>
        </is>
      </c>
      <c r="C7" s="9" t="inlineStr">
        <is>
          <t>D15</t>
        </is>
      </c>
      <c r="D7" s="29" t="inlineStr">
        <is>
          <t>=LOG(1/C15;2)</t>
        </is>
      </c>
    </row>
    <row r="8">
      <c r="B8" s="9" t="inlineStr">
        <is>
          <t>1 Informationsgehalt</t>
        </is>
      </c>
      <c r="C8" s="9" t="inlineStr">
        <is>
          <t>D16</t>
        </is>
      </c>
      <c r="D8" s="29" t="inlineStr">
        <is>
          <t>=LOG(1/C16;2)</t>
        </is>
      </c>
    </row>
    <row r="9">
      <c r="B9" s="9" t="inlineStr">
        <is>
          <t>1 Informationsgehalt</t>
        </is>
      </c>
      <c r="C9" s="9" t="inlineStr">
        <is>
          <t>D17</t>
        </is>
      </c>
      <c r="D9" s="29" t="inlineStr">
        <is>
          <t>=LOG(1/C17;2)</t>
        </is>
      </c>
    </row>
    <row r="10">
      <c r="B10" s="9" t="inlineStr">
        <is>
          <t>1 Informationsgehalt</t>
        </is>
      </c>
      <c r="C10" s="9" t="inlineStr">
        <is>
          <t>D18</t>
        </is>
      </c>
      <c r="D10" s="29" t="inlineStr">
        <is>
          <t>=SUMME(D12:D17)</t>
        </is>
      </c>
    </row>
    <row r="11">
      <c r="B11" s="9" t="inlineStr">
        <is>
          <t>1 Informationsgehalt</t>
        </is>
      </c>
      <c r="C11" s="9" t="inlineStr">
        <is>
          <t>D23</t>
        </is>
      </c>
      <c r="D11" s="29" t="inlineStr">
        <is>
          <t>=1/2^4</t>
        </is>
      </c>
    </row>
    <row r="12">
      <c r="B12" s="9" t="inlineStr">
        <is>
          <t>1 Informationsgehalt</t>
        </is>
      </c>
      <c r="C12" s="9" t="inlineStr">
        <is>
          <t>D24</t>
        </is>
      </c>
      <c r="D12" s="29" t="inlineStr">
        <is>
          <t>=LOG(2^5;2)  → einfach k</t>
        </is>
      </c>
    </row>
    <row r="13">
      <c r="B13" s="9" t="inlineStr">
        <is>
          <t>2 Entropie</t>
        </is>
      </c>
      <c r="C13" s="9" t="inlineStr">
        <is>
          <t>D15</t>
        </is>
      </c>
      <c r="D13" s="29" t="inlineStr">
        <is>
          <t>=C15*LOG(1/C15;2)</t>
        </is>
      </c>
    </row>
    <row r="14">
      <c r="B14" s="9" t="inlineStr">
        <is>
          <t>2 Entropie</t>
        </is>
      </c>
      <c r="C14" s="9" t="inlineStr">
        <is>
          <t>D16</t>
        </is>
      </c>
      <c r="D14" s="29" t="inlineStr">
        <is>
          <t>=C16*LOG(1/C16;2)</t>
        </is>
      </c>
    </row>
    <row r="15">
      <c r="B15" s="9" t="inlineStr">
        <is>
          <t>2 Entropie</t>
        </is>
      </c>
      <c r="C15" s="9" t="inlineStr">
        <is>
          <t>D17</t>
        </is>
      </c>
      <c r="D15" s="29" t="inlineStr">
        <is>
          <t>=C17*LOG(1/C17;2)</t>
        </is>
      </c>
    </row>
    <row r="16">
      <c r="B16" s="9" t="inlineStr">
        <is>
          <t>2 Entropie</t>
        </is>
      </c>
      <c r="C16" s="9" t="inlineStr">
        <is>
          <t>D18</t>
        </is>
      </c>
      <c r="D16" s="29" t="inlineStr">
        <is>
          <t>=C18*LOG(1/C18;2)</t>
        </is>
      </c>
    </row>
    <row r="17">
      <c r="B17" s="9" t="inlineStr">
        <is>
          <t>2 Entropie</t>
        </is>
      </c>
      <c r="C17" s="9" t="inlineStr">
        <is>
          <t>D19</t>
        </is>
      </c>
      <c r="D17" s="29" t="inlineStr">
        <is>
          <t>=C19*LOG(1/C19;2)</t>
        </is>
      </c>
    </row>
    <row r="18">
      <c r="B18" s="9" t="inlineStr">
        <is>
          <t>2 Entropie</t>
        </is>
      </c>
      <c r="C18" s="9" t="inlineStr">
        <is>
          <t>D20</t>
        </is>
      </c>
      <c r="D18" s="29" t="inlineStr">
        <is>
          <t>=C20*LOG(1/C20;2)</t>
        </is>
      </c>
    </row>
    <row r="19">
      <c r="B19" s="9" t="inlineStr">
        <is>
          <t>2 Entropie</t>
        </is>
      </c>
      <c r="C19" s="9" t="inlineStr">
        <is>
          <t>D21</t>
        </is>
      </c>
      <c r="D19" s="29" t="inlineStr">
        <is>
          <t>=SUMME(D15:D20)</t>
        </is>
      </c>
    </row>
    <row r="20">
      <c r="B20" s="9" t="inlineStr">
        <is>
          <t>2 Entropie</t>
        </is>
      </c>
      <c r="C20" s="9" t="inlineStr">
        <is>
          <t>D22</t>
        </is>
      </c>
      <c r="D20" s="29" t="inlineStr">
        <is>
          <t>=SUMMENPRODUKT(C15:C20;LOG(1/C15:C20;2))</t>
        </is>
      </c>
    </row>
    <row r="21">
      <c r="B21" s="9" t="inlineStr">
        <is>
          <t>2 Entropie</t>
        </is>
      </c>
      <c r="C21" s="9" t="inlineStr">
        <is>
          <t>D23</t>
        </is>
      </c>
      <c r="D21" s="29" t="inlineStr">
        <is>
          <t>=LOG(6;2)</t>
        </is>
      </c>
    </row>
    <row r="22">
      <c r="B22" s="9" t="inlineStr">
        <is>
          <t>2 Entropie</t>
        </is>
      </c>
      <c r="C22" s="9" t="inlineStr">
        <is>
          <t>D27</t>
        </is>
      </c>
      <c r="D22" s="29" t="inlineStr">
        <is>
          <t>=C27*LOG(1/C27;2)</t>
        </is>
      </c>
    </row>
    <row r="23">
      <c r="B23" s="9" t="inlineStr">
        <is>
          <t>2 Entropie</t>
        </is>
      </c>
      <c r="C23" s="9" t="inlineStr">
        <is>
          <t>D28</t>
        </is>
      </c>
      <c r="D23" s="29" t="inlineStr">
        <is>
          <t>=C28*LOG(1/C28;2)</t>
        </is>
      </c>
    </row>
    <row r="24">
      <c r="B24" s="9" t="inlineStr">
        <is>
          <t>2 Entropie</t>
        </is>
      </c>
      <c r="C24" s="9" t="inlineStr">
        <is>
          <t>D29</t>
        </is>
      </c>
      <c r="D24" s="29" t="inlineStr">
        <is>
          <t>=C29*LOG(1/C29;2)</t>
        </is>
      </c>
    </row>
    <row r="25">
      <c r="B25" s="9" t="inlineStr">
        <is>
          <t>2 Entropie</t>
        </is>
      </c>
      <c r="C25" s="9" t="inlineStr">
        <is>
          <t>D30</t>
        </is>
      </c>
      <c r="D25" s="29" t="inlineStr">
        <is>
          <t>=C30*LOG(1/C30;2)</t>
        </is>
      </c>
    </row>
    <row r="26">
      <c r="B26" s="9" t="inlineStr">
        <is>
          <t>2 Entropie</t>
        </is>
      </c>
      <c r="C26" s="9" t="inlineStr">
        <is>
          <t>D31</t>
        </is>
      </c>
      <c r="D26" s="29" t="inlineStr">
        <is>
          <t>=SUMME(D27:D30)</t>
        </is>
      </c>
    </row>
    <row r="27">
      <c r="B27" s="9" t="inlineStr">
        <is>
          <t>2 Entropie</t>
        </is>
      </c>
      <c r="C27" s="9" t="inlineStr">
        <is>
          <t>D32</t>
        </is>
      </c>
      <c r="D27" s="29" t="inlineStr">
        <is>
          <t>=SUMMENPRODUKT(C27:C30;LOG(1/C27:C30;2))</t>
        </is>
      </c>
    </row>
    <row r="28">
      <c r="B28" s="9" t="inlineStr">
        <is>
          <t>2 Entropie</t>
        </is>
      </c>
      <c r="C28" s="9" t="inlineStr">
        <is>
          <t>D33</t>
        </is>
      </c>
      <c r="D28" s="29" t="inlineStr">
        <is>
          <t>=LOG(4;2)</t>
        </is>
      </c>
    </row>
    <row r="29">
      <c r="B29" s="9" t="inlineStr">
        <is>
          <t>2 Entropie</t>
        </is>
      </c>
      <c r="C29" s="9" t="inlineStr">
        <is>
          <t>D37</t>
        </is>
      </c>
      <c r="D29" s="29" t="inlineStr">
        <is>
          <t>=C37*LOG(1/C37;2)</t>
        </is>
      </c>
    </row>
    <row r="30">
      <c r="B30" s="9" t="inlineStr">
        <is>
          <t>2 Entropie</t>
        </is>
      </c>
      <c r="C30" s="9" t="inlineStr">
        <is>
          <t>D38</t>
        </is>
      </c>
      <c r="D30" s="29" t="inlineStr">
        <is>
          <t>=C38*LOG(1/C38;2)</t>
        </is>
      </c>
    </row>
    <row r="31">
      <c r="B31" s="9" t="inlineStr">
        <is>
          <t>2 Entropie</t>
        </is>
      </c>
      <c r="C31" s="9" t="inlineStr">
        <is>
          <t>D39</t>
        </is>
      </c>
      <c r="D31" s="29" t="inlineStr">
        <is>
          <t>=C39*LOG(1/C39;2)</t>
        </is>
      </c>
    </row>
    <row r="32">
      <c r="B32" s="9" t="inlineStr">
        <is>
          <t>2 Entropie</t>
        </is>
      </c>
      <c r="C32" s="9" t="inlineStr">
        <is>
          <t>D40</t>
        </is>
      </c>
      <c r="D32" s="29" t="inlineStr">
        <is>
          <t>=SUMME(D37:D39)</t>
        </is>
      </c>
    </row>
    <row r="33">
      <c r="B33" s="9" t="inlineStr">
        <is>
          <t>2 Entropie</t>
        </is>
      </c>
      <c r="C33" s="9" t="inlineStr">
        <is>
          <t>D41</t>
        </is>
      </c>
      <c r="D33" s="29" t="inlineStr">
        <is>
          <t>=SUMMENPRODUKT(C37:C39;LOG(1/C37:C39;2))</t>
        </is>
      </c>
    </row>
    <row r="34">
      <c r="B34" s="9" t="inlineStr">
        <is>
          <t>2 Entropie</t>
        </is>
      </c>
      <c r="C34" s="9" t="inlineStr">
        <is>
          <t>D42</t>
        </is>
      </c>
      <c r="D34" s="29" t="inlineStr">
        <is>
          <t>=LOG(3;2)</t>
        </is>
      </c>
    </row>
    <row r="35">
      <c r="B35" s="9" t="inlineStr">
        <is>
          <t>3 Codierung</t>
        </is>
      </c>
      <c r="C35" s="9" t="inlineStr">
        <is>
          <t>E18</t>
        </is>
      </c>
      <c r="D35" s="29" t="inlineStr">
        <is>
          <t>=LÄNGE(D18)</t>
        </is>
      </c>
    </row>
    <row r="36">
      <c r="B36" s="9" t="inlineStr">
        <is>
          <t>3 Codierung</t>
        </is>
      </c>
      <c r="C36" s="9" t="inlineStr">
        <is>
          <t>F18</t>
        </is>
      </c>
      <c r="D36" s="29" t="inlineStr">
        <is>
          <t>=C18*E18</t>
        </is>
      </c>
    </row>
    <row r="37">
      <c r="B37" s="9" t="inlineStr">
        <is>
          <t>3 Codierung</t>
        </is>
      </c>
      <c r="C37" s="9" t="inlineStr">
        <is>
          <t>G18</t>
        </is>
      </c>
      <c r="D37" s="29" t="inlineStr">
        <is>
          <t>=C18*LOG(1/C18;2)</t>
        </is>
      </c>
    </row>
    <row r="38">
      <c r="B38" s="9" t="inlineStr">
        <is>
          <t>3 Codierung</t>
        </is>
      </c>
      <c r="C38" s="9" t="inlineStr">
        <is>
          <t>E19</t>
        </is>
      </c>
      <c r="D38" s="29" t="inlineStr">
        <is>
          <t>=LÄNGE(D19)</t>
        </is>
      </c>
    </row>
    <row r="39">
      <c r="B39" s="9" t="inlineStr">
        <is>
          <t>3 Codierung</t>
        </is>
      </c>
      <c r="C39" s="9" t="inlineStr">
        <is>
          <t>F19</t>
        </is>
      </c>
      <c r="D39" s="29" t="inlineStr">
        <is>
          <t>=C19*E19</t>
        </is>
      </c>
    </row>
    <row r="40">
      <c r="B40" s="9" t="inlineStr">
        <is>
          <t>3 Codierung</t>
        </is>
      </c>
      <c r="C40" s="9" t="inlineStr">
        <is>
          <t>G19</t>
        </is>
      </c>
      <c r="D40" s="29" t="inlineStr">
        <is>
          <t>=C19*LOG(1/C19;2)</t>
        </is>
      </c>
    </row>
    <row r="41">
      <c r="B41" s="9" t="inlineStr">
        <is>
          <t>3 Codierung</t>
        </is>
      </c>
      <c r="C41" s="9" t="inlineStr">
        <is>
          <t>E20</t>
        </is>
      </c>
      <c r="D41" s="29" t="inlineStr">
        <is>
          <t>=LÄNGE(D20)</t>
        </is>
      </c>
    </row>
    <row r="42">
      <c r="B42" s="9" t="inlineStr">
        <is>
          <t>3 Codierung</t>
        </is>
      </c>
      <c r="C42" s="9" t="inlineStr">
        <is>
          <t>F20</t>
        </is>
      </c>
      <c r="D42" s="29" t="inlineStr">
        <is>
          <t>=C20*E20</t>
        </is>
      </c>
    </row>
    <row r="43">
      <c r="B43" s="9" t="inlineStr">
        <is>
          <t>3 Codierung</t>
        </is>
      </c>
      <c r="C43" s="9" t="inlineStr">
        <is>
          <t>G20</t>
        </is>
      </c>
      <c r="D43" s="29" t="inlineStr">
        <is>
          <t>=C20*LOG(1/C20;2)</t>
        </is>
      </c>
    </row>
    <row r="44">
      <c r="B44" s="9" t="inlineStr">
        <is>
          <t>3 Codierung</t>
        </is>
      </c>
      <c r="C44" s="9" t="inlineStr">
        <is>
          <t>E21</t>
        </is>
      </c>
      <c r="D44" s="29" t="inlineStr">
        <is>
          <t>=LÄNGE(D21)</t>
        </is>
      </c>
    </row>
    <row r="45">
      <c r="B45" s="9" t="inlineStr">
        <is>
          <t>3 Codierung</t>
        </is>
      </c>
      <c r="C45" s="9" t="inlineStr">
        <is>
          <t>F21</t>
        </is>
      </c>
      <c r="D45" s="29" t="inlineStr">
        <is>
          <t>=C21*E21</t>
        </is>
      </c>
    </row>
    <row r="46">
      <c r="B46" s="9" t="inlineStr">
        <is>
          <t>3 Codierung</t>
        </is>
      </c>
      <c r="C46" s="9" t="inlineStr">
        <is>
          <t>G21</t>
        </is>
      </c>
      <c r="D46" s="29" t="inlineStr">
        <is>
          <t>=C21*LOG(1/C21;2)</t>
        </is>
      </c>
    </row>
    <row r="47">
      <c r="B47" s="9" t="inlineStr">
        <is>
          <t>3 Codierung</t>
        </is>
      </c>
      <c r="C47" s="9" t="inlineStr">
        <is>
          <t>F22</t>
        </is>
      </c>
      <c r="D47" s="29" t="inlineStr">
        <is>
          <t>=SUMME(F18:F21)</t>
        </is>
      </c>
    </row>
    <row r="48">
      <c r="B48" s="9" t="inlineStr">
        <is>
          <t>3 Codierung</t>
        </is>
      </c>
      <c r="C48" s="9" t="inlineStr">
        <is>
          <t>F23</t>
        </is>
      </c>
      <c r="D48" s="29" t="inlineStr">
        <is>
          <t>=SUMME(G18:G21)</t>
        </is>
      </c>
    </row>
    <row r="49">
      <c r="B49" s="9" t="inlineStr">
        <is>
          <t>3 Codierung</t>
        </is>
      </c>
      <c r="C49" s="9" t="inlineStr">
        <is>
          <t>F24</t>
        </is>
      </c>
      <c r="D49" s="29" t="inlineStr">
        <is>
          <t>=F22-F23</t>
        </is>
      </c>
    </row>
    <row r="50">
      <c r="B50" s="9" t="inlineStr">
        <is>
          <t>3 Codierung</t>
        </is>
      </c>
      <c r="C50" s="9" t="inlineStr">
        <is>
          <t>F25</t>
        </is>
      </c>
      <c r="D50" s="29" t="inlineStr">
        <is>
          <t>=WENN(F23&lt;=F22;"ja";"nein")</t>
        </is>
      </c>
    </row>
  </sheetData>
  <mergeCells count="1">
    <mergeCell ref="B1:D1"/>
  </mergeCells>
  <conditionalFormatting sqref="B1:J60">
    <cfRule type="expression" priority="1" dxfId="0">
      <formula>ISNUMBER(SEARCH("✓",B1))</formula>
    </cfRule>
    <cfRule type="expression" priority="2" dxfId="1">
      <formula>ISNUMBER(SEARCH("✗",B1))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2026-10-12T06:04:09Z</dcterms:created>
  <dcterms:modified xmlns:dcterms="http://purl.org/dc/terms/" xmlns:xsi="http://www.w3.org/2001/XMLSchema-instance" xsi:type="dcterms:W3CDTF">2026-10-12T06:04:09Z</dcterms:modified>
</cp:coreProperties>
</file>